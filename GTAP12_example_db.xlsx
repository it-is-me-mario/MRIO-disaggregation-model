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xtgen22.sharepoint.com/sites/entice/Shared Documents/WPs, Tasks &amp; Deliverables/WP2 - Data/T2.2 &amp; T2.3 - GTAP disaggregation/Disaggregation/Toy model/"/>
    </mc:Choice>
  </mc:AlternateContent>
  <xr:revisionPtr revIDLastSave="37" documentId="11_F740E00A8FEBE873B5BC3646B6D9085F28F57470" xr6:coauthVersionLast="47" xr6:coauthVersionMax="47" xr10:uidLastSave="{8EC63FD9-803B-407B-A891-C336FA3EB857}"/>
  <bookViews>
    <workbookView xWindow="-110" yWindow="-110" windowWidth="19420" windowHeight="11500" activeTab="1" xr2:uid="{00000000-000D-0000-FFFF-FFFF00000000}"/>
  </bookViews>
  <sheets>
    <sheet name="flows" sheetId="1" r:id="rId1"/>
    <sheet name="X" sheetId="4" r:id="rId2"/>
    <sheet name="coefficients" sheetId="2" r:id="rId3"/>
    <sheet name="uni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1" i="4"/>
</calcChain>
</file>

<file path=xl/sharedStrings.xml><?xml version="1.0" encoding="utf-8"?>
<sst xmlns="http://schemas.openxmlformats.org/spreadsheetml/2006/main" count="159" uniqueCount="17">
  <si>
    <t>RoW</t>
  </si>
  <si>
    <t>Sector</t>
  </si>
  <si>
    <t>Tertiary</t>
  </si>
  <si>
    <t>Secondary</t>
  </si>
  <si>
    <t>Energy</t>
  </si>
  <si>
    <t>Primary</t>
  </si>
  <si>
    <t>EU27</t>
  </si>
  <si>
    <t>-</t>
  </si>
  <si>
    <t>Factor of production</t>
  </si>
  <si>
    <t>VA</t>
  </si>
  <si>
    <t>Consumption category</t>
  </si>
  <si>
    <t>Final consumption</t>
  </si>
  <si>
    <t>unit</t>
  </si>
  <si>
    <t>M USD</t>
  </si>
  <si>
    <t>Satellite account</t>
  </si>
  <si>
    <t>None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</si>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</sst>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\-0.0;\-"/>
    <numFmt numFmtId="165" formatCode="0.000;\-0.000;\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165" fontId="0" fillId="0" borderId="0" xfId="0" applyNumberFormat="1"/>
    <xf numFmtId="0" fontId="1" fillId="2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A4" sqref="A4:C11"/>
    </sheetView>
  </sheetViews>
  <sheetFormatPr defaultRowHeight="14.5" x14ac:dyDescent="0.35"/>
  <cols>
    <col min="4" max="4" width="13.453125" customWidth="1"/>
    <col min="5" max="5" width="12.81640625" customWidth="1"/>
    <col min="15" max="15" width="10.36328125" bestFit="1" customWidth="1"/>
  </cols>
  <sheetData>
    <row r="1" spans="1:15" x14ac:dyDescent="0.35">
      <c r="D1" s="1" t="s">
        <v>0</v>
      </c>
      <c r="E1" s="1" t="s">
        <v>0</v>
      </c>
      <c r="F1" s="1" t="s">
        <v>0</v>
      </c>
      <c r="G1" s="1" t="s">
        <v>0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0</v>
      </c>
      <c r="M1" s="1" t="s">
        <v>6</v>
      </c>
    </row>
    <row r="2" spans="1:15" x14ac:dyDescent="0.35"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10</v>
      </c>
      <c r="M2" s="1" t="s">
        <v>10</v>
      </c>
    </row>
    <row r="3" spans="1:15" x14ac:dyDescent="0.35">
      <c r="D3" s="1" t="s">
        <v>2</v>
      </c>
      <c r="E3" s="1" t="s">
        <v>3</v>
      </c>
      <c r="F3" s="1" t="s">
        <v>4</v>
      </c>
      <c r="G3" s="1" t="s">
        <v>5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11</v>
      </c>
      <c r="M3" s="1" t="s">
        <v>11</v>
      </c>
    </row>
    <row r="4" spans="1:15" x14ac:dyDescent="0.35">
      <c r="A4" s="1" t="s">
        <v>0</v>
      </c>
      <c r="B4" s="1" t="s">
        <v>1</v>
      </c>
      <c r="C4" s="1" t="s">
        <v>2</v>
      </c>
      <c r="D4" s="2">
        <v>25251377.377421279</v>
      </c>
      <c r="E4" s="2">
        <v>10421140.462855101</v>
      </c>
      <c r="F4" s="2">
        <v>1498547.4162809609</v>
      </c>
      <c r="G4" s="2">
        <v>929660.74891293864</v>
      </c>
      <c r="H4" s="2">
        <v>609909.00834397564</v>
      </c>
      <c r="I4" s="2">
        <v>199347.44127895849</v>
      </c>
      <c r="J4" s="2">
        <v>4796.6184311267998</v>
      </c>
      <c r="K4" s="2">
        <v>5426.3812203400003</v>
      </c>
      <c r="L4" s="2">
        <v>53225101.906598747</v>
      </c>
      <c r="M4" s="2">
        <v>194012.9292919164</v>
      </c>
      <c r="O4" s="2"/>
    </row>
    <row r="5" spans="1:15" x14ac:dyDescent="0.35">
      <c r="A5" s="1" t="s">
        <v>0</v>
      </c>
      <c r="B5" s="1" t="s">
        <v>1</v>
      </c>
      <c r="C5" s="1" t="s">
        <v>3</v>
      </c>
      <c r="D5" s="2">
        <v>7735235.5740019334</v>
      </c>
      <c r="E5" s="2">
        <v>25095705.9810731</v>
      </c>
      <c r="F5" s="2">
        <v>779889.32040546159</v>
      </c>
      <c r="G5" s="2">
        <v>866580.49703867768</v>
      </c>
      <c r="H5" s="2">
        <v>233441.08457800109</v>
      </c>
      <c r="I5" s="2">
        <v>843794.31687589956</v>
      </c>
      <c r="J5" s="2">
        <v>10269.392727590401</v>
      </c>
      <c r="K5" s="2">
        <v>11348.907201946</v>
      </c>
      <c r="L5" s="2">
        <v>27098808.21471506</v>
      </c>
      <c r="M5" s="2">
        <v>600566.81054632284</v>
      </c>
      <c r="O5" s="2"/>
    </row>
    <row r="6" spans="1:15" x14ac:dyDescent="0.35">
      <c r="A6" s="1" t="s">
        <v>0</v>
      </c>
      <c r="B6" s="1" t="s">
        <v>1</v>
      </c>
      <c r="C6" s="1" t="s">
        <v>4</v>
      </c>
      <c r="D6" s="2">
        <v>2331084.6761818072</v>
      </c>
      <c r="E6" s="2">
        <v>2431270.210279467</v>
      </c>
      <c r="F6" s="2">
        <v>3938766.5586045012</v>
      </c>
      <c r="G6" s="2">
        <v>299747.3398449776</v>
      </c>
      <c r="H6" s="2">
        <v>54400.425211957801</v>
      </c>
      <c r="I6" s="2">
        <v>51819.045061938603</v>
      </c>
      <c r="J6" s="2">
        <v>326203.95771744312</v>
      </c>
      <c r="K6" s="2">
        <v>2543.9059462724999</v>
      </c>
      <c r="L6" s="2">
        <v>2005745.68424685</v>
      </c>
      <c r="M6" s="2">
        <v>34402.569260178498</v>
      </c>
      <c r="O6" s="2"/>
    </row>
    <row r="7" spans="1:15" x14ac:dyDescent="0.35">
      <c r="A7" s="1" t="s">
        <v>0</v>
      </c>
      <c r="B7" s="1" t="s">
        <v>1</v>
      </c>
      <c r="C7" s="1" t="s">
        <v>5</v>
      </c>
      <c r="D7" s="2">
        <v>412947.20180477208</v>
      </c>
      <c r="E7" s="2">
        <v>3752254.2070973618</v>
      </c>
      <c r="F7" s="2">
        <v>94133.527100384395</v>
      </c>
      <c r="G7" s="2">
        <v>793519.37368714588</v>
      </c>
      <c r="H7" s="2">
        <v>9380.3352629354995</v>
      </c>
      <c r="I7" s="2">
        <v>65463.601326222502</v>
      </c>
      <c r="J7" s="2">
        <v>404.47376485410001</v>
      </c>
      <c r="K7" s="2">
        <v>5289.0461954246002</v>
      </c>
      <c r="L7" s="2">
        <v>2185966.7824609298</v>
      </c>
      <c r="M7" s="2">
        <v>21854.794390975199</v>
      </c>
      <c r="O7" s="2"/>
    </row>
    <row r="8" spans="1:15" x14ac:dyDescent="0.35">
      <c r="A8" s="1" t="s">
        <v>6</v>
      </c>
      <c r="B8" s="1" t="s">
        <v>1</v>
      </c>
      <c r="C8" s="1" t="s">
        <v>2</v>
      </c>
      <c r="D8" s="2">
        <v>500488.37470286922</v>
      </c>
      <c r="E8" s="2">
        <v>105324.18913975749</v>
      </c>
      <c r="F8" s="2">
        <v>20639.3673203906</v>
      </c>
      <c r="G8" s="2">
        <v>7382.8637468293</v>
      </c>
      <c r="H8" s="2">
        <v>6383625.7452451782</v>
      </c>
      <c r="I8" s="2">
        <v>2568091.1093441499</v>
      </c>
      <c r="J8" s="2">
        <v>105469.4813509649</v>
      </c>
      <c r="K8" s="2">
        <v>91903.525049981006</v>
      </c>
      <c r="L8" s="2">
        <v>517188.76282778359</v>
      </c>
      <c r="M8" s="2">
        <v>11455002.48301178</v>
      </c>
      <c r="O8" s="2"/>
    </row>
    <row r="9" spans="1:15" x14ac:dyDescent="0.35">
      <c r="A9" s="1" t="s">
        <v>6</v>
      </c>
      <c r="B9" s="1" t="s">
        <v>1</v>
      </c>
      <c r="C9" s="1" t="s">
        <v>3</v>
      </c>
      <c r="D9" s="2">
        <v>312267.67913712992</v>
      </c>
      <c r="E9" s="2">
        <v>798716.84829463006</v>
      </c>
      <c r="F9" s="2">
        <v>30043.774901625002</v>
      </c>
      <c r="G9" s="2">
        <v>37822.120662907997</v>
      </c>
      <c r="H9" s="2">
        <v>1813249.101573986</v>
      </c>
      <c r="I9" s="2">
        <v>4838559.7393080443</v>
      </c>
      <c r="J9" s="2">
        <v>77024.5925465584</v>
      </c>
      <c r="K9" s="2">
        <v>87665.732202700703</v>
      </c>
      <c r="L9" s="2">
        <v>1058550.1143403361</v>
      </c>
      <c r="M9" s="2">
        <v>4548395.1564449677</v>
      </c>
      <c r="O9" s="2"/>
    </row>
    <row r="10" spans="1:15" x14ac:dyDescent="0.35">
      <c r="A10" s="1" t="s">
        <v>6</v>
      </c>
      <c r="B10" s="1" t="s">
        <v>1</v>
      </c>
      <c r="C10" s="1" t="s">
        <v>4</v>
      </c>
      <c r="D10" s="2">
        <v>38405.714195476699</v>
      </c>
      <c r="E10" s="2">
        <v>10935.318061132801</v>
      </c>
      <c r="F10" s="2">
        <v>10033.464171474699</v>
      </c>
      <c r="G10" s="2">
        <v>2154.5177014883002</v>
      </c>
      <c r="H10" s="2">
        <v>300739.80793163722</v>
      </c>
      <c r="I10" s="2">
        <v>215731.15667099989</v>
      </c>
      <c r="J10" s="2">
        <v>160099.04451463491</v>
      </c>
      <c r="K10" s="2">
        <v>21508.094244194301</v>
      </c>
      <c r="L10" s="2">
        <v>18770.728780359401</v>
      </c>
      <c r="M10" s="2">
        <v>229568.7033317895</v>
      </c>
      <c r="O10" s="2"/>
    </row>
    <row r="11" spans="1:15" x14ac:dyDescent="0.35">
      <c r="A11" s="1" t="s">
        <v>6</v>
      </c>
      <c r="B11" s="1" t="s">
        <v>1</v>
      </c>
      <c r="C11" s="1" t="s">
        <v>5</v>
      </c>
      <c r="D11" s="2">
        <v>2518.6649888451002</v>
      </c>
      <c r="E11" s="2">
        <v>29702.3226504259</v>
      </c>
      <c r="F11" s="2">
        <v>669.40937526029995</v>
      </c>
      <c r="G11" s="2">
        <v>2968.2786672445</v>
      </c>
      <c r="H11" s="2">
        <v>36447.3928667281</v>
      </c>
      <c r="I11" s="2">
        <v>300773.8706272312</v>
      </c>
      <c r="J11" s="2">
        <v>5809.0373798537994</v>
      </c>
      <c r="K11" s="2">
        <v>44732.783298543298</v>
      </c>
      <c r="L11" s="2">
        <v>18239.1764715397</v>
      </c>
      <c r="M11" s="2">
        <v>156312.7135338629</v>
      </c>
      <c r="O11" s="2"/>
    </row>
    <row r="12" spans="1:15" x14ac:dyDescent="0.35">
      <c r="A12" s="1" t="s">
        <v>7</v>
      </c>
      <c r="B12" s="1" t="s">
        <v>8</v>
      </c>
      <c r="C12" s="1" t="s">
        <v>9</v>
      </c>
      <c r="D12" s="2">
        <v>55754995.489304587</v>
      </c>
      <c r="E12" s="2">
        <v>20630590.290623479</v>
      </c>
      <c r="F12" s="2">
        <v>5103261.166889797</v>
      </c>
      <c r="G12" s="2">
        <v>4401376.9590939283</v>
      </c>
      <c r="H12" s="2">
        <v>12313922.8432351</v>
      </c>
      <c r="I12" s="2">
        <v>4518714.5351568013</v>
      </c>
      <c r="J12" s="2">
        <v>317869.87732980889</v>
      </c>
      <c r="K12" s="2">
        <v>327755.13381778513</v>
      </c>
      <c r="L12" s="2">
        <v>0</v>
      </c>
      <c r="M12" s="2">
        <v>0</v>
      </c>
      <c r="O12" s="2"/>
    </row>
    <row r="13" spans="1:15" x14ac:dyDescent="0.35">
      <c r="B13" s="4" t="s">
        <v>14</v>
      </c>
      <c r="C13" s="4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9" spans="4:5" x14ac:dyDescent="0.35">
      <c r="E19" s="2"/>
    </row>
    <row r="20" spans="4:5" x14ac:dyDescent="0.35">
      <c r="D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4907-3FE1-4A8F-849F-C3130FD89A32}">
  <dimension ref="A1:D8"/>
  <sheetViews>
    <sheetView tabSelected="1" workbookViewId="0">
      <selection activeCell="D16" sqref="D16"/>
    </sheetView>
  </sheetViews>
  <sheetFormatPr defaultRowHeight="14.5" x14ac:dyDescent="0.35"/>
  <cols>
    <col min="4" max="4" width="10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>
        <f>SUM(flows!D4:M4)</f>
        <v>92339320.290635332</v>
      </c>
    </row>
    <row r="2" spans="1:4" x14ac:dyDescent="0.35">
      <c r="A2" s="1" t="s">
        <v>0</v>
      </c>
      <c r="B2" s="1" t="s">
        <v>1</v>
      </c>
      <c r="C2" s="1" t="s">
        <v>3</v>
      </c>
      <c r="D2">
        <f>SUM(flows!D5:M5)</f>
        <v>63275640.099163994</v>
      </c>
    </row>
    <row r="3" spans="1:4" x14ac:dyDescent="0.35">
      <c r="A3" s="1" t="s">
        <v>0</v>
      </c>
      <c r="B3" s="1" t="s">
        <v>1</v>
      </c>
      <c r="C3" s="1" t="s">
        <v>4</v>
      </c>
      <c r="D3">
        <f>SUM(flows!D6:M6)</f>
        <v>11475984.372355394</v>
      </c>
    </row>
    <row r="4" spans="1:4" x14ac:dyDescent="0.35">
      <c r="A4" s="1" t="s">
        <v>0</v>
      </c>
      <c r="B4" s="1" t="s">
        <v>1</v>
      </c>
      <c r="C4" s="1" t="s">
        <v>5</v>
      </c>
      <c r="D4">
        <f>SUM(flows!D7:M7)</f>
        <v>7341213.3430910064</v>
      </c>
    </row>
    <row r="5" spans="1:4" x14ac:dyDescent="0.35">
      <c r="A5" s="1" t="s">
        <v>6</v>
      </c>
      <c r="B5" s="1" t="s">
        <v>1</v>
      </c>
      <c r="C5" s="1" t="s">
        <v>2</v>
      </c>
      <c r="D5">
        <f>SUM(flows!D8:M8)</f>
        <v>21755115.901739687</v>
      </c>
    </row>
    <row r="6" spans="1:4" x14ac:dyDescent="0.35">
      <c r="A6" s="1" t="s">
        <v>6</v>
      </c>
      <c r="B6" s="1" t="s">
        <v>1</v>
      </c>
      <c r="C6" s="1" t="s">
        <v>3</v>
      </c>
      <c r="D6">
        <f>SUM(flows!D9:M9)</f>
        <v>13602294.859412886</v>
      </c>
    </row>
    <row r="7" spans="1:4" x14ac:dyDescent="0.35">
      <c r="A7" s="1" t="s">
        <v>6</v>
      </c>
      <c r="B7" s="1" t="s">
        <v>1</v>
      </c>
      <c r="C7" s="1" t="s">
        <v>4</v>
      </c>
      <c r="D7">
        <f>SUM(flows!D10:M10)</f>
        <v>1007946.5496031877</v>
      </c>
    </row>
    <row r="8" spans="1:4" x14ac:dyDescent="0.35">
      <c r="A8" s="1" t="s">
        <v>6</v>
      </c>
      <c r="B8" s="1" t="s">
        <v>1</v>
      </c>
      <c r="C8" s="1" t="s">
        <v>5</v>
      </c>
      <c r="D8">
        <f>SUM(flows!D11:M11)</f>
        <v>598173.64985953481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/>
  </sheetViews>
  <sheetFormatPr defaultRowHeight="14.5" x14ac:dyDescent="0.35"/>
  <sheetData>
    <row r="1" spans="1:13" x14ac:dyDescent="0.35">
      <c r="D1" s="1" t="s">
        <v>0</v>
      </c>
      <c r="E1" s="1" t="s">
        <v>0</v>
      </c>
      <c r="F1" s="1" t="s">
        <v>0</v>
      </c>
      <c r="G1" s="1" t="s">
        <v>0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0</v>
      </c>
      <c r="M1" s="1" t="s">
        <v>6</v>
      </c>
    </row>
    <row r="2" spans="1:13" x14ac:dyDescent="0.35"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10</v>
      </c>
      <c r="M2" s="1" t="s">
        <v>10</v>
      </c>
    </row>
    <row r="3" spans="1:13" x14ac:dyDescent="0.35">
      <c r="D3" s="1" t="s">
        <v>2</v>
      </c>
      <c r="E3" s="1" t="s">
        <v>3</v>
      </c>
      <c r="F3" s="1" t="s">
        <v>4</v>
      </c>
      <c r="G3" s="1" t="s">
        <v>5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11</v>
      </c>
      <c r="M3" s="1" t="s">
        <v>11</v>
      </c>
    </row>
    <row r="4" spans="1:13" x14ac:dyDescent="0.35">
      <c r="A4" s="1" t="s">
        <v>0</v>
      </c>
      <c r="B4" s="1" t="s">
        <v>1</v>
      </c>
      <c r="C4" s="1" t="s">
        <v>2</v>
      </c>
      <c r="D4" s="3">
        <v>0.27346288989287881</v>
      </c>
      <c r="E4" s="3">
        <v>0.16469435072522931</v>
      </c>
      <c r="F4" s="3">
        <v>0.1305811656463062</v>
      </c>
      <c r="G4" s="3">
        <v>0.12663584416707691</v>
      </c>
      <c r="H4" s="3">
        <v>2.803519921928815E-2</v>
      </c>
      <c r="I4" s="3">
        <v>1.465542714220818E-2</v>
      </c>
      <c r="J4" s="3">
        <v>4.7588023720257291E-3</v>
      </c>
      <c r="K4" s="3">
        <v>9.0715818418518456E-3</v>
      </c>
      <c r="L4" s="3">
        <v>53225101.906598747</v>
      </c>
      <c r="M4" s="3">
        <v>194012.9292919164</v>
      </c>
    </row>
    <row r="5" spans="1:13" x14ac:dyDescent="0.35">
      <c r="A5" s="1" t="s">
        <v>0</v>
      </c>
      <c r="B5" s="1" t="s">
        <v>1</v>
      </c>
      <c r="C5" s="1" t="s">
        <v>3</v>
      </c>
      <c r="D5" s="3">
        <v>8.3769682835605694E-2</v>
      </c>
      <c r="E5" s="3">
        <v>0.39660927873260138</v>
      </c>
      <c r="F5" s="3">
        <v>6.7958381181151162E-2</v>
      </c>
      <c r="G5" s="3">
        <v>0.11804322481027441</v>
      </c>
      <c r="H5" s="3">
        <v>1.073039949004977E-2</v>
      </c>
      <c r="I5" s="3">
        <v>6.2033232303590868E-2</v>
      </c>
      <c r="J5" s="3">
        <v>1.0188429864295179E-2</v>
      </c>
      <c r="K5" s="3">
        <v>1.8972596343237429E-2</v>
      </c>
      <c r="L5" s="3">
        <v>27098808.21471506</v>
      </c>
      <c r="M5" s="3">
        <v>600566.81054632284</v>
      </c>
    </row>
    <row r="6" spans="1:13" x14ac:dyDescent="0.35">
      <c r="A6" s="1" t="s">
        <v>0</v>
      </c>
      <c r="B6" s="1" t="s">
        <v>1</v>
      </c>
      <c r="C6" s="1" t="s">
        <v>4</v>
      </c>
      <c r="D6" s="3">
        <v>2.5244767546964669E-2</v>
      </c>
      <c r="E6" s="3">
        <v>3.8423478711068597E-2</v>
      </c>
      <c r="F6" s="3">
        <v>0.34321818772188578</v>
      </c>
      <c r="G6" s="3">
        <v>4.0830762686808041E-2</v>
      </c>
      <c r="H6" s="3">
        <v>2.5005808039665549E-3</v>
      </c>
      <c r="I6" s="3">
        <v>3.809581074187599E-3</v>
      </c>
      <c r="J6" s="3">
        <v>0.32363219839967139</v>
      </c>
      <c r="K6" s="3">
        <v>4.2527883782073461E-3</v>
      </c>
      <c r="L6" s="3">
        <v>2005745.68424685</v>
      </c>
      <c r="M6" s="3">
        <v>34402.569260178498</v>
      </c>
    </row>
    <row r="7" spans="1:13" x14ac:dyDescent="0.35">
      <c r="A7" s="1" t="s">
        <v>0</v>
      </c>
      <c r="B7" s="1" t="s">
        <v>1</v>
      </c>
      <c r="C7" s="1" t="s">
        <v>5</v>
      </c>
      <c r="D7" s="3">
        <v>4.4720623944927542E-3</v>
      </c>
      <c r="E7" s="3">
        <v>5.9300138271488417E-2</v>
      </c>
      <c r="F7" s="3">
        <v>8.2026538243763682E-3</v>
      </c>
      <c r="G7" s="3">
        <v>0.1080910384431132</v>
      </c>
      <c r="H7" s="3">
        <v>4.3117836307116092E-4</v>
      </c>
      <c r="I7" s="3">
        <v>4.8126880061654604E-3</v>
      </c>
      <c r="J7" s="3">
        <v>4.0128493421931428E-4</v>
      </c>
      <c r="K7" s="3">
        <v>8.8419912790651881E-3</v>
      </c>
      <c r="L7" s="3">
        <v>2185966.7824609298</v>
      </c>
      <c r="M7" s="3">
        <v>21854.794390975199</v>
      </c>
    </row>
    <row r="8" spans="1:13" x14ac:dyDescent="0.35">
      <c r="A8" s="1" t="s">
        <v>6</v>
      </c>
      <c r="B8" s="1" t="s">
        <v>1</v>
      </c>
      <c r="C8" s="1" t="s">
        <v>2</v>
      </c>
      <c r="D8" s="3">
        <v>5.4201002685269556E-3</v>
      </c>
      <c r="E8" s="3">
        <v>1.6645298091761079E-3</v>
      </c>
      <c r="F8" s="3">
        <v>1.798483393730386E-3</v>
      </c>
      <c r="G8" s="3">
        <v>1.005673504064215E-3</v>
      </c>
      <c r="H8" s="3">
        <v>0.29343101521857218</v>
      </c>
      <c r="I8" s="3">
        <v>0.1887983708548277</v>
      </c>
      <c r="J8" s="3">
        <v>0.10463797052778891</v>
      </c>
      <c r="K8" s="3">
        <v>0.15364020978115989</v>
      </c>
      <c r="L8" s="3">
        <v>517188.76282778359</v>
      </c>
      <c r="M8" s="3">
        <v>11455002.48301178</v>
      </c>
    </row>
    <row r="9" spans="1:13" x14ac:dyDescent="0.35">
      <c r="A9" s="1" t="s">
        <v>6</v>
      </c>
      <c r="B9" s="1" t="s">
        <v>1</v>
      </c>
      <c r="C9" s="1" t="s">
        <v>3</v>
      </c>
      <c r="D9" s="3">
        <v>3.381741149428828E-3</v>
      </c>
      <c r="E9" s="3">
        <v>1.262281735977544E-2</v>
      </c>
      <c r="F9" s="3">
        <v>2.6179693111117969E-3</v>
      </c>
      <c r="G9" s="3">
        <v>5.1520258158010493E-3</v>
      </c>
      <c r="H9" s="3">
        <v>8.3348170139097566E-2</v>
      </c>
      <c r="I9" s="3">
        <v>0.35571642794963571</v>
      </c>
      <c r="J9" s="3">
        <v>7.6417338376605123E-2</v>
      </c>
      <c r="K9" s="3">
        <v>0.14655565691214689</v>
      </c>
      <c r="L9" s="3">
        <v>1058550.1143403361</v>
      </c>
      <c r="M9" s="3">
        <v>4548395.1564449677</v>
      </c>
    </row>
    <row r="10" spans="1:13" x14ac:dyDescent="0.35">
      <c r="A10" s="1" t="s">
        <v>6</v>
      </c>
      <c r="B10" s="1" t="s">
        <v>1</v>
      </c>
      <c r="C10" s="1" t="s">
        <v>4</v>
      </c>
      <c r="D10" s="3">
        <v>4.1591939462620931E-4</v>
      </c>
      <c r="E10" s="3">
        <v>1.7282034672419351E-4</v>
      </c>
      <c r="F10" s="3">
        <v>8.7430096154926865E-4</v>
      </c>
      <c r="G10" s="3">
        <v>2.9348250769962552E-4</v>
      </c>
      <c r="H10" s="3">
        <v>1.3823866040979731E-2</v>
      </c>
      <c r="I10" s="3">
        <v>1.5859908853667611E-2</v>
      </c>
      <c r="J10" s="3">
        <v>0.15883683968923079</v>
      </c>
      <c r="K10" s="3">
        <v>3.5956271643267652E-2</v>
      </c>
      <c r="L10" s="3">
        <v>18770.728780359401</v>
      </c>
      <c r="M10" s="3">
        <v>229568.7033317895</v>
      </c>
    </row>
    <row r="11" spans="1:13" x14ac:dyDescent="0.35">
      <c r="A11" s="1" t="s">
        <v>6</v>
      </c>
      <c r="B11" s="1" t="s">
        <v>1</v>
      </c>
      <c r="C11" s="1" t="s">
        <v>5</v>
      </c>
      <c r="D11" s="3">
        <v>2.7276191560839681E-5</v>
      </c>
      <c r="E11" s="3">
        <v>4.694116504215077E-4</v>
      </c>
      <c r="F11" s="3">
        <v>5.833132509947003E-5</v>
      </c>
      <c r="G11" s="3">
        <v>4.0433080044431868E-4</v>
      </c>
      <c r="H11" s="3">
        <v>1.675348135645351E-3</v>
      </c>
      <c r="I11" s="3">
        <v>2.211199461090152E-2</v>
      </c>
      <c r="J11" s="3">
        <v>5.763239511202973E-3</v>
      </c>
      <c r="K11" s="3">
        <v>7.4782269845967975E-2</v>
      </c>
      <c r="L11" s="3">
        <v>18239.1764715397</v>
      </c>
      <c r="M11" s="3">
        <v>156312.7135338629</v>
      </c>
    </row>
    <row r="12" spans="1:13" x14ac:dyDescent="0.35">
      <c r="A12" s="1" t="s">
        <v>7</v>
      </c>
      <c r="B12" s="1" t="s">
        <v>8</v>
      </c>
      <c r="C12" s="1" t="s">
        <v>9</v>
      </c>
      <c r="D12" s="3">
        <v>0.6038055653194907</v>
      </c>
      <c r="E12" s="3">
        <v>0.32604317014085887</v>
      </c>
      <c r="F12" s="3">
        <v>0.44469049462833798</v>
      </c>
      <c r="G12" s="3">
        <v>0.59954352957691526</v>
      </c>
      <c r="H12" s="3">
        <v>0.56602423535010449</v>
      </c>
      <c r="I12" s="3">
        <v>0.33220236598751701</v>
      </c>
      <c r="J12" s="3">
        <v>0.31536382306675798</v>
      </c>
      <c r="K12" s="3">
        <v>0.54792639878862881</v>
      </c>
      <c r="L12" s="3">
        <v>0</v>
      </c>
      <c r="M1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8" sqref="C8"/>
    </sheetView>
  </sheetViews>
  <sheetFormatPr defaultRowHeight="14.5" x14ac:dyDescent="0.35"/>
  <sheetData>
    <row r="1" spans="1:3" x14ac:dyDescent="0.35">
      <c r="C1" s="1" t="s">
        <v>12</v>
      </c>
    </row>
    <row r="2" spans="1:3" x14ac:dyDescent="0.35">
      <c r="A2" s="1" t="s">
        <v>1</v>
      </c>
      <c r="B2" s="1" t="s">
        <v>2</v>
      </c>
      <c r="C2" t="s">
        <v>13</v>
      </c>
    </row>
    <row r="3" spans="1:3" x14ac:dyDescent="0.35">
      <c r="A3" s="1" t="s">
        <v>1</v>
      </c>
      <c r="B3" s="1" t="s">
        <v>3</v>
      </c>
      <c r="C3" t="s">
        <v>13</v>
      </c>
    </row>
    <row r="4" spans="1:3" x14ac:dyDescent="0.35">
      <c r="A4" s="1" t="s">
        <v>1</v>
      </c>
      <c r="B4" s="1" t="s">
        <v>4</v>
      </c>
      <c r="C4" t="s">
        <v>13</v>
      </c>
    </row>
    <row r="5" spans="1:3" x14ac:dyDescent="0.35">
      <c r="A5" s="1" t="s">
        <v>1</v>
      </c>
      <c r="B5" s="1" t="s">
        <v>5</v>
      </c>
      <c r="C5" t="s">
        <v>13</v>
      </c>
    </row>
    <row r="6" spans="1:3" x14ac:dyDescent="0.35">
      <c r="A6" s="1" t="s">
        <v>8</v>
      </c>
      <c r="B6" s="1" t="s">
        <v>9</v>
      </c>
      <c r="C6" t="s">
        <v>13</v>
      </c>
    </row>
    <row r="7" spans="1:3" x14ac:dyDescent="0.35">
      <c r="A7" s="4" t="s">
        <v>14</v>
      </c>
      <c r="B7" s="4" t="s">
        <v>15</v>
      </c>
      <c r="C7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7079a-7589-470d-892b-836f3f5ab9a4">
      <Terms xmlns="http://schemas.microsoft.com/office/infopath/2007/PartnerControls"/>
    </lcf76f155ced4ddcb4097134ff3c332f>
    <TaxCatchAll xmlns="9ef6bf99-292f-445d-95df-6a8984d5eb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AED4C651AD5C4F9C61E3D439BD1465" ma:contentTypeVersion="11" ma:contentTypeDescription="Creare un nuovo documento." ma:contentTypeScope="" ma:versionID="3916dc5588df290b35e5c499b507bc33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0e3fae628afbc47c424dc6703fd07071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c05da7-2055-4578-a7cf-40c9d64d09c1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183DAB-7792-4646-8FB6-E6968D2680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3FC0BA-B204-4B59-AFE4-F9CECCDBCAF2}">
  <ds:schemaRefs>
    <ds:schemaRef ds:uri="http://schemas.microsoft.com/office/2006/metadata/properties"/>
    <ds:schemaRef ds:uri="http://schemas.microsoft.com/office/infopath/2007/PartnerControls"/>
    <ds:schemaRef ds:uri="90e7079a-7589-470d-892b-836f3f5ab9a4"/>
    <ds:schemaRef ds:uri="9ef6bf99-292f-445d-95df-6a8984d5eb85"/>
  </ds:schemaRefs>
</ds:datastoreItem>
</file>

<file path=customXml/itemProps3.xml><?xml version="1.0" encoding="utf-8"?>
<ds:datastoreItem xmlns:ds="http://schemas.openxmlformats.org/officeDocument/2006/customXml" ds:itemID="{0D793AA2-C9A1-4882-896E-FFC5587232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flows</vt:lpstr>
      <vt:lpstr>X</vt:lpstr>
      <vt:lpstr>coefficients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Camilla Citterio</cp:lastModifiedBy>
  <dcterms:created xsi:type="dcterms:W3CDTF">2026-06-08T17:04:15Z</dcterms:created>
  <dcterms:modified xsi:type="dcterms:W3CDTF">2026-06-09T11:38:12Z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  <property fmtid="{D5CDD505-2E9C-101B-9397-08002B2CF9AE}" pid="3" name="MediaServiceImageTags">
    <vt:lpwstr/>
  </property>
</Properties>
</file>